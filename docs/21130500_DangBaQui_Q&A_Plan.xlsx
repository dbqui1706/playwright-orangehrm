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<sst xmlns="http://schemas.openxmlformats.org/spreadsheetml/2006/main" count="153" uniqueCount="66">
  <si>
    <t>Q&amp;A Managerment</t>
  </si>
  <si>
    <t>No of Reopen Item</t>
  </si>
  <si>
    <t>No of Open Item</t>
  </si>
  <si>
    <t>No of inprogress Item</t>
  </si>
  <si>
    <t>No of  resolved Item</t>
  </si>
  <si>
    <t>No of  pending Item</t>
  </si>
  <si>
    <t>No of  Closed Item</t>
  </si>
  <si>
    <t>No of  Canceled Item</t>
  </si>
  <si>
    <t>Total</t>
  </si>
  <si>
    <t>#</t>
  </si>
  <si>
    <t>Function</t>
  </si>
  <si>
    <t>Document</t>
  </si>
  <si>
    <t>ReferenceDoc</t>
  </si>
  <si>
    <t>Version</t>
  </si>
  <si>
    <t>Screen</t>
  </si>
  <si>
    <t>Question</t>
  </si>
  <si>
    <t>Answer</t>
  </si>
  <si>
    <t>Raised by</t>
  </si>
  <si>
    <t>Date raised</t>
  </si>
  <si>
    <t>Assign to</t>
  </si>
  <si>
    <t>Priority</t>
  </si>
  <si>
    <t>Status</t>
  </si>
  <si>
    <t>Closed In Version</t>
  </si>
  <si>
    <t>General</t>
  </si>
  <si>
    <t>Test Plan</t>
  </si>
  <si>
    <t>DangBaQui_Group1_OrangeHRM...xlsx</t>
  </si>
  <si>
    <t>1.0</t>
  </si>
  <si>
    <t>N/A</t>
  </si>
  <si>
    <t>Phạm vi kiểm thử (Scope) chính của dự án này là gì?</t>
  </si>
  <si>
    <t>Tập trung kiểm thử chức năng (Functional) và giao diện (GUI) cho module Time, cụ thể là 2 sub-module: Projects và Timesheets.</t>
  </si>
  <si>
    <t>DangBaQui</t>
  </si>
  <si>
    <t>Dang Ba Qui</t>
  </si>
  <si>
    <t>High</t>
  </si>
  <si>
    <t>Closed</t>
  </si>
  <si>
    <t>Projects</t>
  </si>
  <si>
    <t>Test Design</t>
  </si>
  <si>
    <t>Add Project</t>
  </si>
  <si>
    <t>Trong chức năng "Add Project", xử lý các trường hợp trùng tên (Duplicate) như thế nào?</t>
  </si>
  <si>
    <t>Thiết kế TC05: Tạo Project chuẩn trước -&gt; Tạo lại Project mới tên y hệt -&gt; Mong đợi hệ thống báo lỗi "Already exists" và chặn lưu.</t>
  </si>
  <si>
    <t>Add Customer</t>
  </si>
  <si>
    <t>Bạn có thực hiện kiểm thử bảo mật (Security Test) cho input không?</t>
  </si>
  <si>
    <t>Có, tại TC18, tôi thực hiện Script Injection bằng cách nhập &lt;script&gt;alert('XSS')&lt;/script&gt; vào Customer Name để kiểm tra sanitize input.</t>
  </si>
  <si>
    <t>Medium</t>
  </si>
  <si>
    <t>Timesheets</t>
  </si>
  <si>
    <t>Test Report</t>
  </si>
  <si>
    <t>My Timesheets</t>
  </si>
  <si>
    <t>Tại sao Test Case "Timesheets-3" (Empty Submit) lại có kết quả Failed?</t>
  </si>
  <si>
    <t>Do hệ thống cho phép click Submit hoặc không hiển thị thông báo lỗi rõ ràng khi timesheet rỗng, sai khác với mong đợi (nút Submit nên bị disabled).</t>
  </si>
  <si>
    <t>Open</t>
  </si>
  <si>
    <t>Nguyên nhân Failed của Test Case "Timesheets-6" (No Hours Assigned) là gì?</t>
  </si>
  <si>
    <t>Hệ thống cho phép lưu record với giá trị 0 giờ (rỗng) thay vì bắt buộc người dùng phải nhập số liệu thực tế &gt; 0, gây rác dữ liệu.</t>
  </si>
  <si>
    <t>Quy trình "Happy Path" của Timesheets được kiểm thử ra sao?</t>
  </si>
  <si>
    <t>Kiểm tra luồng E2E: Employee tạo Timesheet -&gt; Submit -&gt; Supervisor Approve -&gt; Status cuối cùng là "Approved" (TC Timesheets-1).</t>
  </si>
  <si>
    <t>Làm sao để đảm bảo nhân viên không sửa Timesheet đã Approve?</t>
  </si>
  <si>
    <t>Kiểm tra TC Timesheets-11: Khi Status là "Approved", nút Edit phải bị ẩn (Hidden) hoặc vô hiệu hóa (Disabled), form ở chế độ Read-only.</t>
  </si>
  <si>
    <t>Critical</t>
  </si>
  <si>
    <t>Dữ liệu kiểm thử cho trường nhập giờ (Hours) gồm những gì?</t>
  </si>
  <si>
    <t>3 loại: Hợp lệ (Số nguyên, số thập phân), Không hợp lệ (Số âm, Chữ cái, Số &gt; 24h) và Biên (0, 24).</t>
  </si>
  <si>
    <t>Quy trình xử lý khi Timesheet bị từ chối (Reject) được kiểm thử như thế nào?</t>
  </si>
  <si>
    <t>Thực hiện theo TC02: Supervisor từ chối kèm lý do -&gt; Status thành "Rejected" -&gt; Employee thấy comment, sửa lại giờ -&gt; Submit lại -&gt; Supervisor phê duyệt -&gt; Status "Approved".</t>
  </si>
  <si>
    <t>Integration</t>
  </si>
  <si>
    <t>Add Row</t>
  </si>
  <si>
    <t>Làm sao đảm bảo dữ liệu Project vừa tạo hiển thị đúng bên màn hình Timesheet?</t>
  </si>
  <si>
    <t>Kiểm tra tính toàn vẹn dữ liệu (Data Integrity): Project/Customer sau khi Add thành công ở module Projects phải hiển thị ngay lập tức trong dropdown list khi tạo Timesheet mới.</t>
  </si>
  <si>
    <t>Hệ thống xử lý thế nào nếu người dùng cố tạo Timesheet cho tuần tương lai?</t>
  </si>
  <si>
    <t>Theo TC10, hệ thống phải chặn hành động này: Nút "Create Timesheet" sẽ bị vô hiệu hóa (Disabled) hoặc ẩn đi khi người dùng navigate sang các tuần chưa đến.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</si>
</sst>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FFFFFF"/>
      <name val="Roboto"/>
    </font>
    <font>
      <sz val="11.0"/>
      <color rgb="FF434343"/>
      <name val="Roboto"/>
    </font>
    <font>
      <sz val="11.0"/>
      <color rgb="FF2C481F"/>
      <name val="Roboto"/>
    </font>
    <font>
      <sz val="11.0"/>
      <color rgb="FFB10202"/>
      <name val="Roboto"/>
    </font>
    <font>
      <sz val="11.0"/>
      <color rgb="FF383A3C"/>
      <name val="Roboto"/>
    </font>
    <font>
      <sz val="11.0"/>
      <color rgb="FF473821"/>
      <name val="Roboto"/>
    </font>
    <font>
      <sz val="11.0"/>
      <color rgb="FF2A3243"/>
      <name val="Roboto"/>
    </font>
    <font>
      <sz val="11.0"/>
      <color rgb="FF4C535E"/>
      <name val="Roboto"/>
    </font>
    <font>
      <sz val="11.0"/>
      <color rgb="FF5A3286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0" fillId="0" fontId="2" numFmtId="49" xfId="0" applyAlignment="1" applyFont="1" applyNumberFormat="1">
      <alignment vertical="top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0" fillId="4" fontId="4" numFmtId="0" xfId="0" applyAlignment="1" applyFill="1" applyFont="1">
      <alignment horizontal="left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4" numFmtId="164" xfId="0" applyAlignment="1" applyFont="1" applyNumberFormat="1">
      <alignment horizontal="left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6" numFmtId="0" xfId="0" applyAlignment="1" applyFont="1">
      <alignment horizontal="left" shrinkToFit="0" vertical="center" wrapText="1"/>
    </xf>
    <xf borderId="0" fillId="4" fontId="7" numFmtId="0" xfId="0" applyAlignment="1" applyFont="1">
      <alignment horizontal="left" shrinkToFit="0" vertical="center" wrapText="1"/>
    </xf>
    <xf borderId="0" fillId="5" fontId="4" numFmtId="0" xfId="0" applyAlignment="1" applyFill="1" applyFont="1">
      <alignment horizontal="left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164" xfId="0" applyAlignment="1" applyFont="1" applyNumberFormat="1">
      <alignment horizontal="left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7" numFmtId="0" xfId="0" applyAlignment="1" applyFont="1">
      <alignment horizontal="left" shrinkToFit="0" vertical="center" wrapText="1"/>
    </xf>
    <xf borderId="0" fillId="4" fontId="8" numFmtId="0" xfId="0" applyAlignment="1" applyFont="1">
      <alignment horizontal="left" shrinkToFit="0" vertical="center" wrapText="1"/>
    </xf>
    <xf borderId="0" fillId="5" fontId="9" numFmtId="0" xfId="0" applyAlignment="1" applyFont="1">
      <alignment readingOrder="0" shrinkToFit="0" vertical="center" wrapText="1"/>
    </xf>
    <xf borderId="0" fillId="5" fontId="10" numFmtId="0" xfId="0" applyAlignment="1" applyFont="1">
      <alignment horizontal="left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left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1" numFmtId="0" xfId="0" applyAlignment="1" applyFont="1">
      <alignment horizontal="left" shrinkToFit="0" vertical="center" wrapText="1"/>
    </xf>
    <xf borderId="0" fillId="5" fontId="8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0:N21" displayName="Question_Answer" name="Question_Answer" id="1">
  <tableColumns count="14">
    <tableColumn name="#" id="1"/>
    <tableColumn name="Function" id="2"/>
    <tableColumn name="Document" id="3"/>
    <tableColumn name="ReferenceDoc" id="4"/>
    <tableColumn name="Version" id="5"/>
    <tableColumn name="Screen" id="6"/>
    <tableColumn name="Question" id="7"/>
    <tableColumn name="Answer" id="8"/>
    <tableColumn name="Raised by" id="9"/>
    <tableColumn name="Date raised" id="10"/>
    <tableColumn name="Assign to" id="11"/>
    <tableColumn name="Priority" id="12"/>
    <tableColumn name="Status" id="13"/>
    <tableColumn name="Closed In Version" id="14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6.75"/>
    <col customWidth="1" min="2" max="2" width="12.75"/>
    <col customWidth="1" min="3" max="3" width="15.5"/>
    <col customWidth="1" min="4" max="4" width="19.13"/>
    <col customWidth="1" min="5" max="5" width="12.63"/>
    <col customWidth="1" min="6" max="6" width="16.0"/>
    <col customWidth="1" min="7" max="7" width="38.38"/>
    <col customWidth="1" min="8" max="8" width="50.88"/>
    <col customWidth="1" min="11" max="11" width="16.75"/>
    <col customWidth="1" min="14" max="14" width="17.75"/>
  </cols>
  <sheetData>
    <row r="1">
      <c r="C1" s="1" t="s">
        <v>0</v>
      </c>
      <c r="D1" s="2" t="s">
        <v>1</v>
      </c>
      <c r="E1" s="3">
        <f>COUNTIF($M$10:$M$176,"Reopen")</f>
        <v>0</v>
      </c>
    </row>
    <row r="2">
      <c r="C2" s="4"/>
      <c r="D2" s="2" t="s">
        <v>2</v>
      </c>
      <c r="E2" s="3">
        <f>COUNTIF($M$10:$M$176,"Open")</f>
        <v>2</v>
      </c>
    </row>
    <row r="3">
      <c r="C3" s="4"/>
      <c r="D3" s="2" t="s">
        <v>3</v>
      </c>
      <c r="E3" s="3">
        <f>COUNTIF($M$10:$M$176,"In progress")</f>
        <v>0</v>
      </c>
    </row>
    <row r="4">
      <c r="C4" s="4"/>
      <c r="D4" s="2" t="s">
        <v>4</v>
      </c>
      <c r="E4" s="3">
        <f>COUNTIF($M$10:$M$176,"Resolved")</f>
        <v>0</v>
      </c>
    </row>
    <row r="5">
      <c r="C5" s="4"/>
      <c r="D5" s="2" t="s">
        <v>5</v>
      </c>
      <c r="E5" s="3">
        <f>COUNTIF($M$10:$M$176,"Pending")</f>
        <v>0</v>
      </c>
    </row>
    <row r="6">
      <c r="C6" s="4"/>
      <c r="D6" s="2" t="s">
        <v>6</v>
      </c>
      <c r="E6" s="3">
        <f>COUNTIF($M$10:$M$176,"Closed")</f>
        <v>9</v>
      </c>
    </row>
    <row r="7">
      <c r="C7" s="4"/>
      <c r="D7" s="2" t="s">
        <v>7</v>
      </c>
      <c r="E7" s="3">
        <f>COUNTIF($M$10:$M$176,"Canceled")</f>
        <v>0</v>
      </c>
    </row>
    <row r="8">
      <c r="C8" s="4"/>
      <c r="D8" s="2" t="s">
        <v>8</v>
      </c>
      <c r="E8" s="3">
        <f>SUM(E1:E7)</f>
        <v>11</v>
      </c>
    </row>
    <row r="10" ht="22.5" customHeight="1">
      <c r="A10" s="5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  <c r="M10" s="6" t="s">
        <v>21</v>
      </c>
      <c r="N10" s="7" t="s">
        <v>22</v>
      </c>
    </row>
    <row r="11" ht="22.5" customHeight="1">
      <c r="A11" s="8">
        <v>1.0</v>
      </c>
      <c r="B11" s="8" t="s">
        <v>23</v>
      </c>
      <c r="C11" s="8" t="s">
        <v>24</v>
      </c>
      <c r="D11" s="8" t="s">
        <v>25</v>
      </c>
      <c r="E11" s="9" t="s">
        <v>26</v>
      </c>
      <c r="F11" s="8" t="s">
        <v>27</v>
      </c>
      <c r="G11" s="8" t="s">
        <v>28</v>
      </c>
      <c r="H11" s="8" t="s">
        <v>29</v>
      </c>
      <c r="I11" s="8" t="s">
        <v>30</v>
      </c>
      <c r="J11" s="10">
        <v>46005.0</v>
      </c>
      <c r="K11" s="11" t="s">
        <v>31</v>
      </c>
      <c r="L11" s="12" t="s">
        <v>32</v>
      </c>
      <c r="M11" s="13" t="s">
        <v>33</v>
      </c>
      <c r="N11" s="9" t="s">
        <v>26</v>
      </c>
    </row>
    <row r="12" ht="22.5" customHeight="1">
      <c r="A12" s="14">
        <v>2.0</v>
      </c>
      <c r="B12" s="14" t="s">
        <v>34</v>
      </c>
      <c r="C12" s="14" t="s">
        <v>35</v>
      </c>
      <c r="D12" s="14" t="s">
        <v>25</v>
      </c>
      <c r="E12" s="15" t="s">
        <v>26</v>
      </c>
      <c r="F12" s="14" t="s">
        <v>36</v>
      </c>
      <c r="G12" s="14" t="s">
        <v>37</v>
      </c>
      <c r="H12" s="14" t="s">
        <v>38</v>
      </c>
      <c r="I12" s="14" t="s">
        <v>30</v>
      </c>
      <c r="J12" s="16">
        <v>46005.0</v>
      </c>
      <c r="K12" s="17" t="s">
        <v>31</v>
      </c>
      <c r="L12" s="18" t="s">
        <v>32</v>
      </c>
      <c r="M12" s="19" t="s">
        <v>33</v>
      </c>
      <c r="N12" s="15" t="s">
        <v>26</v>
      </c>
    </row>
    <row r="13" ht="22.5" customHeight="1">
      <c r="A13" s="8">
        <v>3.0</v>
      </c>
      <c r="B13" s="8" t="s">
        <v>34</v>
      </c>
      <c r="C13" s="8" t="s">
        <v>35</v>
      </c>
      <c r="D13" s="8" t="s">
        <v>25</v>
      </c>
      <c r="E13" s="9" t="s">
        <v>26</v>
      </c>
      <c r="F13" s="8" t="s">
        <v>39</v>
      </c>
      <c r="G13" s="8" t="s">
        <v>40</v>
      </c>
      <c r="H13" s="8" t="s">
        <v>41</v>
      </c>
      <c r="I13" s="8" t="s">
        <v>30</v>
      </c>
      <c r="J13" s="10">
        <v>46005.0</v>
      </c>
      <c r="K13" s="11" t="s">
        <v>31</v>
      </c>
      <c r="L13" s="20" t="s">
        <v>42</v>
      </c>
      <c r="M13" s="13" t="s">
        <v>33</v>
      </c>
      <c r="N13" s="9" t="s">
        <v>26</v>
      </c>
    </row>
    <row r="14" ht="22.5" customHeight="1">
      <c r="A14" s="14">
        <v>4.0</v>
      </c>
      <c r="B14" s="14" t="s">
        <v>43</v>
      </c>
      <c r="C14" s="14" t="s">
        <v>44</v>
      </c>
      <c r="D14" s="14" t="s">
        <v>25</v>
      </c>
      <c r="E14" s="15" t="s">
        <v>26</v>
      </c>
      <c r="F14" s="14" t="s">
        <v>45</v>
      </c>
      <c r="G14" s="14" t="s">
        <v>46</v>
      </c>
      <c r="H14" s="14" t="s">
        <v>47</v>
      </c>
      <c r="I14" s="14" t="s">
        <v>30</v>
      </c>
      <c r="J14" s="16">
        <v>46005.0</v>
      </c>
      <c r="K14" s="21" t="s">
        <v>31</v>
      </c>
      <c r="L14" s="18" t="s">
        <v>32</v>
      </c>
      <c r="M14" s="22" t="s">
        <v>48</v>
      </c>
      <c r="N14" s="23"/>
    </row>
    <row r="15" ht="22.5" customHeight="1">
      <c r="A15" s="8">
        <v>5.0</v>
      </c>
      <c r="B15" s="8" t="s">
        <v>43</v>
      </c>
      <c r="C15" s="8" t="s">
        <v>44</v>
      </c>
      <c r="D15" s="8" t="s">
        <v>25</v>
      </c>
      <c r="E15" s="9" t="s">
        <v>26</v>
      </c>
      <c r="F15" s="8" t="s">
        <v>45</v>
      </c>
      <c r="G15" s="8" t="s">
        <v>49</v>
      </c>
      <c r="H15" s="8" t="s">
        <v>50</v>
      </c>
      <c r="I15" s="8" t="s">
        <v>30</v>
      </c>
      <c r="J15" s="10">
        <v>46005.0</v>
      </c>
      <c r="K15" s="21" t="s">
        <v>31</v>
      </c>
      <c r="L15" s="20" t="s">
        <v>42</v>
      </c>
      <c r="M15" s="24" t="s">
        <v>48</v>
      </c>
      <c r="N15" s="25"/>
    </row>
    <row r="16" ht="22.5" customHeight="1">
      <c r="A16" s="14">
        <v>6.0</v>
      </c>
      <c r="B16" s="14" t="s">
        <v>43</v>
      </c>
      <c r="C16" s="14" t="s">
        <v>35</v>
      </c>
      <c r="D16" s="14" t="s">
        <v>25</v>
      </c>
      <c r="E16" s="15" t="s">
        <v>26</v>
      </c>
      <c r="F16" s="14" t="s">
        <v>45</v>
      </c>
      <c r="G16" s="14" t="s">
        <v>51</v>
      </c>
      <c r="H16" s="14" t="s">
        <v>52</v>
      </c>
      <c r="I16" s="14" t="s">
        <v>30</v>
      </c>
      <c r="J16" s="16">
        <v>46005.0</v>
      </c>
      <c r="K16" s="21" t="s">
        <v>31</v>
      </c>
      <c r="L16" s="18" t="s">
        <v>32</v>
      </c>
      <c r="M16" s="19" t="s">
        <v>33</v>
      </c>
      <c r="N16" s="15" t="s">
        <v>26</v>
      </c>
    </row>
    <row r="17" ht="22.5" customHeight="1">
      <c r="A17" s="8">
        <v>7.0</v>
      </c>
      <c r="B17" s="8" t="s">
        <v>43</v>
      </c>
      <c r="C17" s="8" t="s">
        <v>35</v>
      </c>
      <c r="D17" s="8" t="s">
        <v>25</v>
      </c>
      <c r="E17" s="9" t="s">
        <v>26</v>
      </c>
      <c r="F17" s="8" t="s">
        <v>45</v>
      </c>
      <c r="G17" s="8" t="s">
        <v>53</v>
      </c>
      <c r="H17" s="8" t="s">
        <v>54</v>
      </c>
      <c r="I17" s="8" t="s">
        <v>30</v>
      </c>
      <c r="J17" s="10">
        <v>46005.0</v>
      </c>
      <c r="K17" s="21" t="s">
        <v>31</v>
      </c>
      <c r="L17" s="26" t="s">
        <v>55</v>
      </c>
      <c r="M17" s="13" t="s">
        <v>33</v>
      </c>
      <c r="N17" s="9" t="s">
        <v>26</v>
      </c>
    </row>
    <row r="18" ht="22.5" customHeight="1">
      <c r="A18" s="14">
        <v>8.0</v>
      </c>
      <c r="B18" s="14" t="s">
        <v>43</v>
      </c>
      <c r="C18" s="14" t="s">
        <v>35</v>
      </c>
      <c r="D18" s="14" t="s">
        <v>25</v>
      </c>
      <c r="E18" s="15" t="s">
        <v>26</v>
      </c>
      <c r="F18" s="14" t="s">
        <v>45</v>
      </c>
      <c r="G18" s="14" t="s">
        <v>56</v>
      </c>
      <c r="H18" s="14" t="s">
        <v>57</v>
      </c>
      <c r="I18" s="14" t="s">
        <v>30</v>
      </c>
      <c r="J18" s="16">
        <v>46005.0</v>
      </c>
      <c r="K18" s="21" t="s">
        <v>31</v>
      </c>
      <c r="L18" s="27" t="s">
        <v>42</v>
      </c>
      <c r="M18" s="19" t="s">
        <v>33</v>
      </c>
      <c r="N18" s="15" t="s">
        <v>26</v>
      </c>
    </row>
    <row r="19" ht="22.5" customHeight="1">
      <c r="A19" s="8">
        <v>9.0</v>
      </c>
      <c r="B19" s="28" t="s">
        <v>43</v>
      </c>
      <c r="C19" s="28" t="s">
        <v>35</v>
      </c>
      <c r="D19" s="28" t="s">
        <v>25</v>
      </c>
      <c r="E19" s="29" t="s">
        <v>26</v>
      </c>
      <c r="F19" s="28" t="s">
        <v>45</v>
      </c>
      <c r="G19" s="28" t="s">
        <v>58</v>
      </c>
      <c r="H19" s="28" t="s">
        <v>59</v>
      </c>
      <c r="I19" s="28" t="s">
        <v>30</v>
      </c>
      <c r="J19" s="30">
        <v>46005.0</v>
      </c>
      <c r="K19" s="21" t="s">
        <v>31</v>
      </c>
      <c r="L19" s="31" t="s">
        <v>32</v>
      </c>
      <c r="M19" s="31" t="s">
        <v>33</v>
      </c>
      <c r="N19" s="29" t="s">
        <v>26</v>
      </c>
    </row>
    <row r="20" ht="22.5" customHeight="1">
      <c r="A20" s="14">
        <v>10.0</v>
      </c>
      <c r="B20" s="28" t="s">
        <v>60</v>
      </c>
      <c r="C20" s="28" t="s">
        <v>24</v>
      </c>
      <c r="D20" s="28" t="s">
        <v>25</v>
      </c>
      <c r="E20" s="29" t="s">
        <v>26</v>
      </c>
      <c r="F20" s="28" t="s">
        <v>61</v>
      </c>
      <c r="G20" s="28" t="s">
        <v>62</v>
      </c>
      <c r="H20" s="28" t="s">
        <v>63</v>
      </c>
      <c r="I20" s="28" t="s">
        <v>30</v>
      </c>
      <c r="J20" s="30">
        <v>46005.0</v>
      </c>
      <c r="K20" s="21" t="s">
        <v>31</v>
      </c>
      <c r="L20" s="31" t="s">
        <v>55</v>
      </c>
      <c r="M20" s="31" t="s">
        <v>33</v>
      </c>
      <c r="N20" s="29" t="s">
        <v>26</v>
      </c>
    </row>
    <row r="21" ht="22.5" customHeight="1">
      <c r="A21" s="8">
        <v>11.0</v>
      </c>
      <c r="B21" s="28" t="s">
        <v>43</v>
      </c>
      <c r="C21" s="28" t="s">
        <v>35</v>
      </c>
      <c r="D21" s="28" t="s">
        <v>25</v>
      </c>
      <c r="E21" s="29" t="s">
        <v>26</v>
      </c>
      <c r="F21" s="28" t="s">
        <v>45</v>
      </c>
      <c r="G21" s="28" t="s">
        <v>64</v>
      </c>
      <c r="H21" s="28" t="s">
        <v>65</v>
      </c>
      <c r="I21" s="28" t="s">
        <v>30</v>
      </c>
      <c r="J21" s="30">
        <v>46005.0</v>
      </c>
      <c r="K21" s="21" t="s">
        <v>31</v>
      </c>
      <c r="L21" s="31" t="s">
        <v>42</v>
      </c>
      <c r="M21" s="31" t="s">
        <v>33</v>
      </c>
      <c r="N21" s="29" t="s">
        <v>26</v>
      </c>
    </row>
  </sheetData>
  <dataValidations>
    <dataValidation type="list" allowBlank="1" sqref="L11:L21">
      <formula1>"High,Medium,Critical,Low"</formula1>
    </dataValidation>
    <dataValidation type="custom" allowBlank="1" showDropDown="1" sqref="J11:J21">
      <formula1>OR(NOT(ISERROR(DATEVALUE(J11))), AND(ISNUMBER(J11), LEFT(CELL("format", J11))="D"))</formula1>
    </dataValidation>
    <dataValidation type="list" allowBlank="1" showDropDown="1" showErrorMessage="1" sqref="M11:M21">
      <formula1>"Closed,Open"</formula1>
    </dataValidation>
    <dataValidation type="list" allowBlank="1" sqref="K11:K21">
      <formula1>"Dang Ba Qui,Dev Team"</formula1>
    </dataValidation>
  </dataValidations>
  <drawing r:id="rId1"/>
  <tableParts count="1">
    <tablePart r:id="rId3"/>
  </tableParts>
</worksheet>
</file>